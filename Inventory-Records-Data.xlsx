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Shakes\"/>
    </mc:Choice>
  </mc:AlternateContent>
  <xr:revisionPtr revIDLastSave="0" documentId="13_ncr:1_{B39A27F3-0C96-4DF0-9A83-AC6C7C12BA02}" xr6:coauthVersionLast="47" xr6:coauthVersionMax="47" xr10:uidLastSave="{00000000-0000-0000-0000-000000000000}"/>
  <bookViews>
    <workbookView xWindow="-108" yWindow="-108" windowWidth="23256" windowHeight="13176" xr2:uid="{A31F09EB-BC4A-4E28-AFD6-656B84808B88}"/>
  </bookViews>
  <sheets>
    <sheet name="Inventory Records Data" sheetId="2" r:id="rId1"/>
    <sheet name="Sheet1" sheetId="3" r:id="rId2"/>
  </sheets>
  <definedNames>
    <definedName name="_xlnm._FilterDatabase" localSheetId="0" hidden="1">'Inventory Records Data'!$B$5:$J$51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 a="1"/>
  <c r="B33" i="3" s="1"/>
  <c r="D33" i="3"/>
  <c r="J41" i="2"/>
  <c r="J40" i="2"/>
  <c r="J30" i="2"/>
  <c r="J7" i="2"/>
  <c r="J43" i="2"/>
  <c r="J6" i="2"/>
  <c r="J19" i="2"/>
  <c r="J9" i="2"/>
  <c r="J31" i="2"/>
  <c r="J23" i="2"/>
  <c r="J14" i="2"/>
  <c r="J44" i="2"/>
  <c r="J24" i="2"/>
  <c r="J10" i="2"/>
  <c r="J8" i="2"/>
  <c r="J20" i="2"/>
  <c r="J32" i="2"/>
  <c r="J36" i="2"/>
  <c r="J27" i="2"/>
  <c r="J45" i="2"/>
  <c r="J50" i="2"/>
  <c r="J37" i="2"/>
  <c r="J15" i="2"/>
  <c r="J25" i="2"/>
  <c r="J33" i="2"/>
  <c r="J12" i="2"/>
  <c r="J21" i="2"/>
  <c r="J11" i="2"/>
  <c r="J28" i="2"/>
  <c r="J16" i="2"/>
  <c r="J38" i="2"/>
  <c r="J46" i="2"/>
  <c r="J22" i="2"/>
  <c r="J34" i="2"/>
  <c r="J39" i="2"/>
  <c r="J47" i="2"/>
  <c r="J51" i="2"/>
  <c r="J17" i="2"/>
  <c r="J29" i="2"/>
  <c r="J48" i="2"/>
  <c r="J42" i="2"/>
  <c r="J35" i="2"/>
  <c r="J26" i="2"/>
  <c r="J18" i="2"/>
  <c r="J49" i="2"/>
  <c r="J13" i="2"/>
  <c r="C7" i="3" a="1"/>
  <c r="C7" i="3" s="1"/>
  <c r="E7" i="3"/>
  <c r="C6" i="3" a="1"/>
  <c r="C6" i="3" s="1"/>
  <c r="E6" i="3"/>
  <c r="I13" i="2"/>
  <c r="I30" i="2"/>
  <c r="I7" i="2"/>
  <c r="I43" i="2"/>
  <c r="I6" i="2"/>
  <c r="I19" i="2"/>
  <c r="I9" i="2"/>
  <c r="I31" i="2"/>
  <c r="I23" i="2"/>
  <c r="I14" i="2"/>
  <c r="I44" i="2"/>
  <c r="I24" i="2"/>
  <c r="I10" i="2"/>
  <c r="I8" i="2"/>
  <c r="I20" i="2"/>
  <c r="I32" i="2"/>
  <c r="I36" i="2"/>
  <c r="I27" i="2"/>
  <c r="I45" i="2"/>
  <c r="I50" i="2"/>
  <c r="I37" i="2"/>
  <c r="I15" i="2"/>
  <c r="I25" i="2"/>
  <c r="I33" i="2"/>
  <c r="I12" i="2"/>
  <c r="I21" i="2"/>
  <c r="I11" i="2"/>
  <c r="I28" i="2"/>
  <c r="I16" i="2"/>
  <c r="I38" i="2"/>
  <c r="I46" i="2"/>
  <c r="I22" i="2"/>
  <c r="I34" i="2"/>
  <c r="I39" i="2"/>
  <c r="I47" i="2"/>
  <c r="I51" i="2"/>
  <c r="I40" i="2"/>
  <c r="I17" i="2"/>
  <c r="I29" i="2"/>
  <c r="I41" i="2"/>
  <c r="I48" i="2"/>
  <c r="I42" i="2"/>
  <c r="I35" i="2"/>
  <c r="I26" i="2"/>
  <c r="I18" i="2"/>
  <c r="I49" i="2"/>
  <c r="B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<sst xmlns="http://schemas.openxmlformats.org/spreadsheetml/2006/main" count="133" uniqueCount="113">
  <si>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</si>
  <si>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</si>
  <si>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</si>
  <si>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</si>
  <si>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</si>
  <si>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</si>
  <si>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</si>
  <si>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</si>
  <si>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</si>
  <si>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</si>
  <si>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</si>
  <si>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</si>
  <si>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</si>
  <si>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</si>
  <si>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</si>
  <si>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</si>
  <si>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</si>
  <si>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</si>
  <si>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</si>
  <si>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</si>
  <si>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</si>
  <si>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</si>
  <si>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</si>
  <si>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</si>
  <si>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</si>
  <si>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</si>
  <si>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</si>
  <si>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</si>
  <si>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</si>
  <si>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</si>
  <si>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</si>
  <si>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</si>
  <si>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</si>
  <si>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</si>
  <si>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</si>
  <si>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</si>
  <si>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</si>
  <si>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</si>
  <si>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</si>
  <si>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</si>
  <si>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</si>
  <si>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</si>
  <si>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</si>
  <si>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</si>
  <si>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</si>
  <si>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</si>
  <si>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</si>
  <si>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</si>
  <si>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</si>
  <si>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</si>
  <si>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</si>
  <si>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</si>
  <si>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</si>
  <si>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</si>
  <si>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</si>
  <si>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</si>
  <si>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</si>
  <si>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</si>
  <si>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</si>
  <si>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</si>
  <si>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</si>
  <si>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</si>
  <si>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</si>
  <si>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</si>
  <si>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</si>
  <si>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</si>
  <si>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</si>
  <si>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</si>
  <si>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</si>
  <si>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</si>
  <si>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</si>
  <si>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</si>
  <si>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</si>
  <si>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</si>
  <si>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</si>
  <si>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</si>
  <si>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</si>
  <si>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</si>
  <si>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</si>
  <si>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</si>
  <si>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</si>
  <si>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</si>
  <si>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</si>
  <si>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</si>
  <si>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</si>
  <si>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</si>
  <si>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</si>
  <si>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</si>
  <si>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</si>
  <si>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</si>
  <si>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</si>
  <si>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</si>
  <si>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</si>
  <si>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</si>
  <si>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</si>
  <si>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</si>
  <si>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</si>
  <si>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</si>
  <si>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</si>
  <si>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</si>
  <si>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</si>
  <si>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1. What is the total value of the current inventory based on the cost price per unit?</t>
  </si>
  <si>
    <t>Answer</t>
  </si>
  <si>
    <t>2. Which products have the highest and lowest stock levels?</t>
  </si>
  <si>
    <t>Highest Stock</t>
  </si>
  <si>
    <t>Lowest Stock</t>
  </si>
  <si>
    <t>3. How does the opening stock compare to the current hand-in-stock for each product?</t>
  </si>
  <si>
    <t>Stock Difference</t>
  </si>
  <si>
    <t>A positive value in the "Stock Difference" column indicates that the current hand-in-stock is higher than the opening stock, suggesting that additional units were added to the inventory.</t>
  </si>
  <si>
    <t>A negative value indicates that the current hand-in-stock is lower than the opening stock, suggesting that units were sold or removed from the inventory.</t>
  </si>
  <si>
    <t>4. Which products have the highest number of units sold?</t>
  </si>
  <si>
    <t>5.Are there any products that have not been sold at all?</t>
  </si>
  <si>
    <t>Currently No, All products were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</si>
</sst>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44" fontId="0" fillId="4" borderId="0" xfId="1" applyFont="1" applyFill="1"/>
    <xf numFmtId="0" fontId="5" fillId="4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vertical="top" wrapText="1"/>
    </xf>
    <xf numFmtId="0" fontId="1" fillId="5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3:J51"/>
  <sheetViews>
    <sheetView showGridLines="0" tabSelected="1" workbookViewId="0">
      <selection activeCell="D18" sqref="D18"/>
    </sheetView>
  </sheetViews>
  <sheetFormatPr defaultRowHeight="14.4" x14ac:dyDescent="0.3"/>
  <cols>
    <col min="1" max="1" width="3.5546875" style="1" customWidth="1"/>
    <col min="2" max="2" width="12.5546875" style="1" customWidth="1"/>
    <col min="3" max="3" width="20.88671875" style="1" customWidth="1"/>
    <col min="4" max="4" width="10.88671875" style="1" customWidth="1"/>
    <col min="5" max="5" width="12" style="1" customWidth="1"/>
    <col min="6" max="6" width="12.6640625" style="1" customWidth="1"/>
    <col min="7" max="7" width="10.5546875" style="1" customWidth="1"/>
    <col min="8" max="8" width="15.109375" style="1" customWidth="1"/>
    <col min="9" max="9" width="13.6640625" style="1" customWidth="1"/>
    <col min="10" max="10" width="12" style="1" customWidth="1"/>
    <col min="11" max="16384" width="8.88671875" style="1"/>
  </cols>
  <sheetData>
    <row r="3" spans="2:10" ht="18.600000000000001" thickBot="1" x14ac:dyDescent="0.35">
      <c r="B3" s="3" t="s">
        <v>0</v>
      </c>
      <c r="C3" s="2"/>
      <c r="D3" s="2"/>
      <c r="E3" s="2"/>
      <c r="F3" s="2"/>
      <c r="G3" s="2"/>
      <c r="H3" s="2"/>
      <c r="I3" s="2"/>
    </row>
    <row r="5" spans="2:10" ht="31.2" x14ac:dyDescent="0.3"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11" t="s">
        <v>107</v>
      </c>
    </row>
    <row r="6" spans="2:10" x14ac:dyDescent="0.3">
      <c r="B6" s="6" t="s">
        <v>17</v>
      </c>
      <c r="C6" s="6" t="s">
        <v>18</v>
      </c>
      <c r="D6" s="6">
        <v>70</v>
      </c>
      <c r="E6" s="6">
        <v>30</v>
      </c>
      <c r="F6" s="6">
        <v>20</v>
      </c>
      <c r="G6" s="6">
        <v>80</v>
      </c>
      <c r="H6" s="6">
        <v>900</v>
      </c>
      <c r="I6" s="6">
        <f t="shared" ref="I6:I51" si="0">G6*H6</f>
        <v>72000</v>
      </c>
      <c r="J6" s="1">
        <f t="shared" ref="J6:J51" si="1">G6-D6</f>
        <v>10</v>
      </c>
    </row>
    <row r="7" spans="2:10" x14ac:dyDescent="0.3">
      <c r="B7" s="6" t="s">
        <v>13</v>
      </c>
      <c r="C7" s="6" t="s">
        <v>14</v>
      </c>
      <c r="D7" s="6">
        <v>60</v>
      </c>
      <c r="E7" s="6">
        <v>25</v>
      </c>
      <c r="F7" s="6">
        <v>15</v>
      </c>
      <c r="G7" s="6">
        <v>70</v>
      </c>
      <c r="H7" s="6">
        <v>50</v>
      </c>
      <c r="I7" s="6">
        <f t="shared" si="0"/>
        <v>3500</v>
      </c>
      <c r="J7" s="1">
        <f t="shared" si="1"/>
        <v>10</v>
      </c>
    </row>
    <row r="8" spans="2:10" x14ac:dyDescent="0.3">
      <c r="B8" s="6" t="s">
        <v>35</v>
      </c>
      <c r="C8" s="6" t="s">
        <v>36</v>
      </c>
      <c r="D8" s="6">
        <v>60</v>
      </c>
      <c r="E8" s="6">
        <v>30</v>
      </c>
      <c r="F8" s="6">
        <v>15</v>
      </c>
      <c r="G8" s="6">
        <v>75</v>
      </c>
      <c r="H8" s="6">
        <v>10</v>
      </c>
      <c r="I8" s="6">
        <f t="shared" si="0"/>
        <v>750</v>
      </c>
      <c r="J8" s="1">
        <f t="shared" si="1"/>
        <v>15</v>
      </c>
    </row>
    <row r="9" spans="2:10" x14ac:dyDescent="0.3">
      <c r="B9" s="6" t="s">
        <v>21</v>
      </c>
      <c r="C9" s="6" t="s">
        <v>22</v>
      </c>
      <c r="D9" s="6">
        <v>55</v>
      </c>
      <c r="E9" s="6">
        <v>22</v>
      </c>
      <c r="F9" s="6">
        <v>12</v>
      </c>
      <c r="G9" s="6">
        <v>65</v>
      </c>
      <c r="H9" s="6">
        <v>150</v>
      </c>
      <c r="I9" s="6">
        <f t="shared" si="0"/>
        <v>9750</v>
      </c>
      <c r="J9" s="1">
        <f t="shared" si="1"/>
        <v>10</v>
      </c>
    </row>
    <row r="10" spans="2:10" x14ac:dyDescent="0.3">
      <c r="B10" s="6" t="s">
        <v>33</v>
      </c>
      <c r="C10" s="6" t="s">
        <v>34</v>
      </c>
      <c r="D10" s="6">
        <v>50</v>
      </c>
      <c r="E10" s="6">
        <v>25</v>
      </c>
      <c r="F10" s="6">
        <v>12</v>
      </c>
      <c r="G10" s="6">
        <v>63</v>
      </c>
      <c r="H10" s="6">
        <v>20</v>
      </c>
      <c r="I10" s="6">
        <f t="shared" si="0"/>
        <v>1260</v>
      </c>
      <c r="J10" s="1">
        <f t="shared" si="1"/>
        <v>13</v>
      </c>
    </row>
    <row r="11" spans="2:10" x14ac:dyDescent="0.3">
      <c r="B11" s="6" t="s">
        <v>61</v>
      </c>
      <c r="C11" s="6" t="s">
        <v>62</v>
      </c>
      <c r="D11" s="6">
        <v>60</v>
      </c>
      <c r="E11" s="6">
        <v>25</v>
      </c>
      <c r="F11" s="6">
        <v>12</v>
      </c>
      <c r="G11" s="6">
        <v>73</v>
      </c>
      <c r="H11" s="6">
        <v>60</v>
      </c>
      <c r="I11" s="6">
        <f t="shared" si="0"/>
        <v>4380</v>
      </c>
      <c r="J11" s="1">
        <f t="shared" si="1"/>
        <v>13</v>
      </c>
    </row>
    <row r="12" spans="2:10" x14ac:dyDescent="0.3">
      <c r="B12" s="6" t="s">
        <v>57</v>
      </c>
      <c r="C12" s="6" t="s">
        <v>58</v>
      </c>
      <c r="D12" s="6">
        <v>50</v>
      </c>
      <c r="E12" s="6">
        <v>22</v>
      </c>
      <c r="F12" s="6">
        <v>11</v>
      </c>
      <c r="G12" s="6">
        <v>61</v>
      </c>
      <c r="H12" s="6">
        <v>80</v>
      </c>
      <c r="I12" s="6">
        <f t="shared" si="0"/>
        <v>4880</v>
      </c>
      <c r="J12" s="1">
        <f t="shared" si="1"/>
        <v>11</v>
      </c>
    </row>
    <row r="13" spans="2:10" x14ac:dyDescent="0.3">
      <c r="B13" s="6" t="s">
        <v>9</v>
      </c>
      <c r="C13" s="6" t="s">
        <v>10</v>
      </c>
      <c r="D13" s="6">
        <v>50</v>
      </c>
      <c r="E13" s="6">
        <v>20</v>
      </c>
      <c r="F13" s="6">
        <v>10</v>
      </c>
      <c r="G13" s="6">
        <v>60</v>
      </c>
      <c r="H13" s="6">
        <v>1200</v>
      </c>
      <c r="I13" s="6">
        <f t="shared" si="0"/>
        <v>72000</v>
      </c>
      <c r="J13" s="1">
        <f t="shared" si="1"/>
        <v>10</v>
      </c>
    </row>
    <row r="14" spans="2:10" x14ac:dyDescent="0.3">
      <c r="B14" s="6" t="s">
        <v>27</v>
      </c>
      <c r="C14" s="6" t="s">
        <v>28</v>
      </c>
      <c r="D14" s="6">
        <v>40</v>
      </c>
      <c r="E14" s="6">
        <v>20</v>
      </c>
      <c r="F14" s="6">
        <v>10</v>
      </c>
      <c r="G14" s="6">
        <v>50</v>
      </c>
      <c r="H14" s="6">
        <v>60</v>
      </c>
      <c r="I14" s="6">
        <f t="shared" si="0"/>
        <v>3000</v>
      </c>
      <c r="J14" s="1">
        <f t="shared" si="1"/>
        <v>10</v>
      </c>
    </row>
    <row r="15" spans="2:10" x14ac:dyDescent="0.3">
      <c r="B15" s="6" t="s">
        <v>51</v>
      </c>
      <c r="C15" s="6" t="s">
        <v>52</v>
      </c>
      <c r="D15" s="6">
        <v>40</v>
      </c>
      <c r="E15" s="6">
        <v>18</v>
      </c>
      <c r="F15" s="6">
        <v>9</v>
      </c>
      <c r="G15" s="6">
        <v>49</v>
      </c>
      <c r="H15" s="6">
        <v>600</v>
      </c>
      <c r="I15" s="6">
        <f t="shared" si="0"/>
        <v>29400</v>
      </c>
      <c r="J15" s="1">
        <f t="shared" si="1"/>
        <v>9</v>
      </c>
    </row>
    <row r="16" spans="2:10" x14ac:dyDescent="0.3">
      <c r="B16" s="6" t="s">
        <v>65</v>
      </c>
      <c r="C16" s="6" t="s">
        <v>66</v>
      </c>
      <c r="D16" s="6">
        <v>40</v>
      </c>
      <c r="E16" s="6">
        <v>18</v>
      </c>
      <c r="F16" s="6">
        <v>9</v>
      </c>
      <c r="G16" s="6">
        <v>49</v>
      </c>
      <c r="H16" s="6">
        <v>80</v>
      </c>
      <c r="I16" s="6">
        <f t="shared" si="0"/>
        <v>3920</v>
      </c>
      <c r="J16" s="1">
        <f t="shared" si="1"/>
        <v>9</v>
      </c>
    </row>
    <row r="17" spans="2:10" x14ac:dyDescent="0.3">
      <c r="B17" s="6" t="s">
        <v>83</v>
      </c>
      <c r="C17" s="6" t="s">
        <v>84</v>
      </c>
      <c r="D17" s="6">
        <v>40</v>
      </c>
      <c r="E17" s="6">
        <v>18</v>
      </c>
      <c r="F17" s="6">
        <v>9</v>
      </c>
      <c r="G17" s="6">
        <v>49</v>
      </c>
      <c r="H17" s="6">
        <v>8</v>
      </c>
      <c r="I17" s="6">
        <f t="shared" si="0"/>
        <v>392</v>
      </c>
      <c r="J17" s="1">
        <f t="shared" si="1"/>
        <v>9</v>
      </c>
    </row>
    <row r="18" spans="2:10" x14ac:dyDescent="0.3">
      <c r="B18" s="6" t="s">
        <v>97</v>
      </c>
      <c r="C18" s="6" t="s">
        <v>98</v>
      </c>
      <c r="D18" s="6">
        <v>50</v>
      </c>
      <c r="E18" s="6">
        <v>20</v>
      </c>
      <c r="F18" s="6">
        <v>9</v>
      </c>
      <c r="G18" s="6">
        <v>61</v>
      </c>
      <c r="H18" s="6">
        <v>8</v>
      </c>
      <c r="I18" s="6">
        <f t="shared" si="0"/>
        <v>488</v>
      </c>
      <c r="J18" s="1">
        <f t="shared" si="1"/>
        <v>11</v>
      </c>
    </row>
    <row r="19" spans="2:10" x14ac:dyDescent="0.3">
      <c r="B19" s="6" t="s">
        <v>19</v>
      </c>
      <c r="C19" s="6" t="s">
        <v>20</v>
      </c>
      <c r="D19" s="6">
        <v>45</v>
      </c>
      <c r="E19" s="6">
        <v>18</v>
      </c>
      <c r="F19" s="6">
        <v>8</v>
      </c>
      <c r="G19" s="6">
        <v>55</v>
      </c>
      <c r="H19" s="6">
        <v>700</v>
      </c>
      <c r="I19" s="6">
        <f t="shared" si="0"/>
        <v>38500</v>
      </c>
      <c r="J19" s="1">
        <f t="shared" si="1"/>
        <v>10</v>
      </c>
    </row>
    <row r="20" spans="2:10" x14ac:dyDescent="0.3">
      <c r="B20" s="6" t="s">
        <v>37</v>
      </c>
      <c r="C20" s="6" t="s">
        <v>38</v>
      </c>
      <c r="D20" s="6">
        <v>40</v>
      </c>
      <c r="E20" s="6">
        <v>20</v>
      </c>
      <c r="F20" s="6">
        <v>8</v>
      </c>
      <c r="G20" s="6">
        <v>52</v>
      </c>
      <c r="H20" s="6">
        <v>25</v>
      </c>
      <c r="I20" s="6">
        <f t="shared" si="0"/>
        <v>1300</v>
      </c>
      <c r="J20" s="1">
        <f t="shared" si="1"/>
        <v>12</v>
      </c>
    </row>
    <row r="21" spans="2:10" x14ac:dyDescent="0.3">
      <c r="B21" s="6" t="s">
        <v>59</v>
      </c>
      <c r="C21" s="6" t="s">
        <v>60</v>
      </c>
      <c r="D21" s="6">
        <v>45</v>
      </c>
      <c r="E21" s="6">
        <v>20</v>
      </c>
      <c r="F21" s="6">
        <v>8</v>
      </c>
      <c r="G21" s="6">
        <v>57</v>
      </c>
      <c r="H21" s="6">
        <v>120</v>
      </c>
      <c r="I21" s="6">
        <f t="shared" si="0"/>
        <v>6840</v>
      </c>
      <c r="J21" s="1">
        <f t="shared" si="1"/>
        <v>12</v>
      </c>
    </row>
    <row r="22" spans="2:10" x14ac:dyDescent="0.3">
      <c r="B22" s="6" t="s">
        <v>71</v>
      </c>
      <c r="C22" s="6" t="s">
        <v>72</v>
      </c>
      <c r="D22" s="6">
        <v>50</v>
      </c>
      <c r="E22" s="6">
        <v>20</v>
      </c>
      <c r="F22" s="6">
        <v>8</v>
      </c>
      <c r="G22" s="6">
        <v>58</v>
      </c>
      <c r="H22" s="6">
        <v>10</v>
      </c>
      <c r="I22" s="6">
        <f t="shared" si="0"/>
        <v>580</v>
      </c>
      <c r="J22" s="1">
        <f t="shared" si="1"/>
        <v>8</v>
      </c>
    </row>
    <row r="23" spans="2:10" x14ac:dyDescent="0.3">
      <c r="B23" s="6" t="s">
        <v>25</v>
      </c>
      <c r="C23" s="6" t="s">
        <v>26</v>
      </c>
      <c r="D23" s="6">
        <v>35</v>
      </c>
      <c r="E23" s="6">
        <v>15</v>
      </c>
      <c r="F23" s="6">
        <v>7</v>
      </c>
      <c r="G23" s="6">
        <v>43</v>
      </c>
      <c r="H23" s="6">
        <v>80</v>
      </c>
      <c r="I23" s="6">
        <f t="shared" si="0"/>
        <v>3440</v>
      </c>
      <c r="J23" s="1">
        <f t="shared" si="1"/>
        <v>8</v>
      </c>
    </row>
    <row r="24" spans="2:10" x14ac:dyDescent="0.3">
      <c r="B24" s="6" t="s">
        <v>31</v>
      </c>
      <c r="C24" s="6" t="s">
        <v>32</v>
      </c>
      <c r="D24" s="6">
        <v>30</v>
      </c>
      <c r="E24" s="6">
        <v>15</v>
      </c>
      <c r="F24" s="6">
        <v>7</v>
      </c>
      <c r="G24" s="6">
        <v>38</v>
      </c>
      <c r="H24" s="6">
        <v>30</v>
      </c>
      <c r="I24" s="6">
        <f t="shared" si="0"/>
        <v>1140</v>
      </c>
      <c r="J24" s="1">
        <f t="shared" si="1"/>
        <v>8</v>
      </c>
    </row>
    <row r="25" spans="2:10" x14ac:dyDescent="0.3">
      <c r="B25" s="6" t="s">
        <v>53</v>
      </c>
      <c r="C25" s="6" t="s">
        <v>54</v>
      </c>
      <c r="D25" s="6">
        <v>30</v>
      </c>
      <c r="E25" s="6">
        <v>15</v>
      </c>
      <c r="F25" s="6">
        <v>7</v>
      </c>
      <c r="G25" s="6">
        <v>38</v>
      </c>
      <c r="H25" s="6">
        <v>350</v>
      </c>
      <c r="I25" s="6">
        <f t="shared" si="0"/>
        <v>13300</v>
      </c>
      <c r="J25" s="1">
        <f t="shared" si="1"/>
        <v>8</v>
      </c>
    </row>
    <row r="26" spans="2:10" x14ac:dyDescent="0.3">
      <c r="B26" s="6" t="s">
        <v>95</v>
      </c>
      <c r="C26" s="6" t="s">
        <v>96</v>
      </c>
      <c r="D26" s="6">
        <v>40</v>
      </c>
      <c r="E26" s="6">
        <v>18</v>
      </c>
      <c r="F26" s="6">
        <v>7</v>
      </c>
      <c r="G26" s="6">
        <v>51</v>
      </c>
      <c r="H26" s="6">
        <v>30</v>
      </c>
      <c r="I26" s="6">
        <f t="shared" si="0"/>
        <v>1530</v>
      </c>
      <c r="J26" s="1">
        <f t="shared" si="1"/>
        <v>11</v>
      </c>
    </row>
    <row r="27" spans="2:10" x14ac:dyDescent="0.3">
      <c r="B27" s="6" t="s">
        <v>43</v>
      </c>
      <c r="C27" s="6" t="s">
        <v>44</v>
      </c>
      <c r="D27" s="6">
        <v>30</v>
      </c>
      <c r="E27" s="6">
        <v>12</v>
      </c>
      <c r="F27" s="6">
        <v>6</v>
      </c>
      <c r="G27" s="6">
        <v>36</v>
      </c>
      <c r="H27" s="6">
        <v>80</v>
      </c>
      <c r="I27" s="6">
        <f t="shared" si="0"/>
        <v>2880</v>
      </c>
      <c r="J27" s="1">
        <f t="shared" si="1"/>
        <v>6</v>
      </c>
    </row>
    <row r="28" spans="2:10" x14ac:dyDescent="0.3">
      <c r="B28" s="6" t="s">
        <v>63</v>
      </c>
      <c r="C28" s="6" t="s">
        <v>64</v>
      </c>
      <c r="D28" s="6">
        <v>35</v>
      </c>
      <c r="E28" s="6">
        <v>15</v>
      </c>
      <c r="F28" s="6">
        <v>6</v>
      </c>
      <c r="G28" s="6">
        <v>44</v>
      </c>
      <c r="H28" s="6">
        <v>100</v>
      </c>
      <c r="I28" s="6">
        <f t="shared" si="0"/>
        <v>4400</v>
      </c>
      <c r="J28" s="1">
        <f t="shared" si="1"/>
        <v>9</v>
      </c>
    </row>
    <row r="29" spans="2:10" x14ac:dyDescent="0.3">
      <c r="B29" s="6" t="s">
        <v>85</v>
      </c>
      <c r="C29" s="6" t="s">
        <v>86</v>
      </c>
      <c r="D29" s="6">
        <v>30</v>
      </c>
      <c r="E29" s="6">
        <v>15</v>
      </c>
      <c r="F29" s="6">
        <v>6</v>
      </c>
      <c r="G29" s="6">
        <v>39</v>
      </c>
      <c r="H29" s="6">
        <v>20</v>
      </c>
      <c r="I29" s="6">
        <f t="shared" si="0"/>
        <v>780</v>
      </c>
      <c r="J29" s="1">
        <f t="shared" si="1"/>
        <v>9</v>
      </c>
    </row>
    <row r="30" spans="2:10" x14ac:dyDescent="0.3">
      <c r="B30" s="6" t="s">
        <v>11</v>
      </c>
      <c r="C30" s="6" t="s">
        <v>12</v>
      </c>
      <c r="D30" s="6">
        <v>40</v>
      </c>
      <c r="E30" s="6">
        <v>15</v>
      </c>
      <c r="F30" s="6">
        <v>5</v>
      </c>
      <c r="G30" s="6">
        <v>50</v>
      </c>
      <c r="H30" s="6">
        <v>500</v>
      </c>
      <c r="I30" s="6">
        <f t="shared" si="0"/>
        <v>25000</v>
      </c>
      <c r="J30" s="1">
        <f t="shared" si="1"/>
        <v>10</v>
      </c>
    </row>
    <row r="31" spans="2:10" x14ac:dyDescent="0.3">
      <c r="B31" s="6" t="s">
        <v>23</v>
      </c>
      <c r="C31" s="6" t="s">
        <v>24</v>
      </c>
      <c r="D31" s="6">
        <v>25</v>
      </c>
      <c r="E31" s="6">
        <v>12</v>
      </c>
      <c r="F31" s="6">
        <v>5</v>
      </c>
      <c r="G31" s="6">
        <v>32</v>
      </c>
      <c r="H31" s="6">
        <v>200</v>
      </c>
      <c r="I31" s="6">
        <f t="shared" si="0"/>
        <v>6400</v>
      </c>
      <c r="J31" s="1">
        <f t="shared" si="1"/>
        <v>7</v>
      </c>
    </row>
    <row r="32" spans="2:10" x14ac:dyDescent="0.3">
      <c r="B32" s="6" t="s">
        <v>39</v>
      </c>
      <c r="C32" s="6" t="s">
        <v>40</v>
      </c>
      <c r="D32" s="6">
        <v>35</v>
      </c>
      <c r="E32" s="6">
        <v>15</v>
      </c>
      <c r="F32" s="6">
        <v>5</v>
      </c>
      <c r="G32" s="6">
        <v>45</v>
      </c>
      <c r="H32" s="6">
        <v>40</v>
      </c>
      <c r="I32" s="6">
        <f t="shared" si="0"/>
        <v>1800</v>
      </c>
      <c r="J32" s="1">
        <f t="shared" si="1"/>
        <v>10</v>
      </c>
    </row>
    <row r="33" spans="2:10" x14ac:dyDescent="0.3">
      <c r="B33" s="6" t="s">
        <v>55</v>
      </c>
      <c r="C33" s="6" t="s">
        <v>56</v>
      </c>
      <c r="D33" s="6">
        <v>25</v>
      </c>
      <c r="E33" s="6">
        <v>12</v>
      </c>
      <c r="F33" s="6">
        <v>5</v>
      </c>
      <c r="G33" s="6">
        <v>32</v>
      </c>
      <c r="H33" s="6">
        <v>200</v>
      </c>
      <c r="I33" s="6">
        <f t="shared" si="0"/>
        <v>6400</v>
      </c>
      <c r="J33" s="1">
        <f t="shared" si="1"/>
        <v>7</v>
      </c>
    </row>
    <row r="34" spans="2:10" x14ac:dyDescent="0.3">
      <c r="B34" s="6" t="s">
        <v>73</v>
      </c>
      <c r="C34" s="6" t="s">
        <v>74</v>
      </c>
      <c r="D34" s="6">
        <v>40</v>
      </c>
      <c r="E34" s="6">
        <v>15</v>
      </c>
      <c r="F34" s="6">
        <v>5</v>
      </c>
      <c r="G34" s="6">
        <v>50</v>
      </c>
      <c r="H34" s="6">
        <v>5</v>
      </c>
      <c r="I34" s="6">
        <f t="shared" si="0"/>
        <v>250</v>
      </c>
      <c r="J34" s="1">
        <f t="shared" si="1"/>
        <v>10</v>
      </c>
    </row>
    <row r="35" spans="2:10" x14ac:dyDescent="0.3">
      <c r="B35" s="6" t="s">
        <v>93</v>
      </c>
      <c r="C35" s="6" t="s">
        <v>94</v>
      </c>
      <c r="D35" s="6">
        <v>30</v>
      </c>
      <c r="E35" s="6">
        <v>12</v>
      </c>
      <c r="F35" s="6">
        <v>5</v>
      </c>
      <c r="G35" s="6">
        <v>37</v>
      </c>
      <c r="H35" s="6">
        <v>20</v>
      </c>
      <c r="I35" s="6">
        <f t="shared" si="0"/>
        <v>740</v>
      </c>
      <c r="J35" s="1">
        <f t="shared" si="1"/>
        <v>7</v>
      </c>
    </row>
    <row r="36" spans="2:10" x14ac:dyDescent="0.3">
      <c r="B36" s="6" t="s">
        <v>41</v>
      </c>
      <c r="C36" s="6" t="s">
        <v>42</v>
      </c>
      <c r="D36" s="6">
        <v>25</v>
      </c>
      <c r="E36" s="6">
        <v>10</v>
      </c>
      <c r="F36" s="6">
        <v>4</v>
      </c>
      <c r="G36" s="6">
        <v>31</v>
      </c>
      <c r="H36" s="6">
        <v>100</v>
      </c>
      <c r="I36" s="6">
        <f t="shared" si="0"/>
        <v>3100</v>
      </c>
      <c r="J36" s="1">
        <f t="shared" si="1"/>
        <v>6</v>
      </c>
    </row>
    <row r="37" spans="2:10" x14ac:dyDescent="0.3">
      <c r="B37" s="6" t="s">
        <v>49</v>
      </c>
      <c r="C37" s="6" t="s">
        <v>50</v>
      </c>
      <c r="D37" s="6">
        <v>25</v>
      </c>
      <c r="E37" s="6">
        <v>10</v>
      </c>
      <c r="F37" s="6">
        <v>4</v>
      </c>
      <c r="G37" s="6">
        <v>29</v>
      </c>
      <c r="H37" s="6">
        <v>400</v>
      </c>
      <c r="I37" s="6">
        <f t="shared" si="0"/>
        <v>11600</v>
      </c>
      <c r="J37" s="1">
        <f t="shared" si="1"/>
        <v>4</v>
      </c>
    </row>
    <row r="38" spans="2:10" x14ac:dyDescent="0.3">
      <c r="B38" s="6" t="s">
        <v>67</v>
      </c>
      <c r="C38" s="6" t="s">
        <v>68</v>
      </c>
      <c r="D38" s="6">
        <v>30</v>
      </c>
      <c r="E38" s="6">
        <v>12</v>
      </c>
      <c r="F38" s="6">
        <v>4</v>
      </c>
      <c r="G38" s="6">
        <v>34</v>
      </c>
      <c r="H38" s="6">
        <v>50</v>
      </c>
      <c r="I38" s="6">
        <f t="shared" si="0"/>
        <v>1700</v>
      </c>
      <c r="J38" s="1">
        <f t="shared" si="1"/>
        <v>4</v>
      </c>
    </row>
    <row r="39" spans="2:10" x14ac:dyDescent="0.3">
      <c r="B39" s="6" t="s">
        <v>75</v>
      </c>
      <c r="C39" s="6" t="s">
        <v>76</v>
      </c>
      <c r="D39" s="6">
        <v>30</v>
      </c>
      <c r="E39" s="6">
        <v>12</v>
      </c>
      <c r="F39" s="6">
        <v>4</v>
      </c>
      <c r="G39" s="6">
        <v>34</v>
      </c>
      <c r="H39" s="6">
        <v>15</v>
      </c>
      <c r="I39" s="6">
        <f t="shared" si="0"/>
        <v>510</v>
      </c>
      <c r="J39" s="1">
        <f t="shared" si="1"/>
        <v>4</v>
      </c>
    </row>
    <row r="40" spans="2:10" x14ac:dyDescent="0.3">
      <c r="B40" s="6" t="s">
        <v>81</v>
      </c>
      <c r="C40" s="6" t="s">
        <v>82</v>
      </c>
      <c r="D40" s="6">
        <v>25</v>
      </c>
      <c r="E40" s="6">
        <v>10</v>
      </c>
      <c r="F40" s="6">
        <v>4</v>
      </c>
      <c r="G40" s="6">
        <v>29</v>
      </c>
      <c r="H40" s="6">
        <v>5</v>
      </c>
      <c r="I40" s="6">
        <f t="shared" si="0"/>
        <v>145</v>
      </c>
      <c r="J40" s="1">
        <f t="shared" si="1"/>
        <v>4</v>
      </c>
    </row>
    <row r="41" spans="2:10" x14ac:dyDescent="0.3">
      <c r="B41" s="6" t="s">
        <v>87</v>
      </c>
      <c r="C41" s="6" t="s">
        <v>88</v>
      </c>
      <c r="D41" s="6">
        <v>35</v>
      </c>
      <c r="E41" s="6">
        <v>12</v>
      </c>
      <c r="F41" s="6">
        <v>4</v>
      </c>
      <c r="G41" s="6">
        <v>31</v>
      </c>
      <c r="H41" s="6">
        <v>15</v>
      </c>
      <c r="I41" s="6">
        <f t="shared" si="0"/>
        <v>465</v>
      </c>
      <c r="J41" s="12">
        <f t="shared" si="1"/>
        <v>-4</v>
      </c>
    </row>
    <row r="42" spans="2:10" x14ac:dyDescent="0.3">
      <c r="B42" s="6" t="s">
        <v>91</v>
      </c>
      <c r="C42" s="6" t="s">
        <v>92</v>
      </c>
      <c r="D42" s="6">
        <v>20</v>
      </c>
      <c r="E42" s="6">
        <v>10</v>
      </c>
      <c r="F42" s="6">
        <v>4</v>
      </c>
      <c r="G42" s="6">
        <v>24</v>
      </c>
      <c r="H42" s="6">
        <v>15</v>
      </c>
      <c r="I42" s="6">
        <f t="shared" si="0"/>
        <v>360</v>
      </c>
      <c r="J42" s="1">
        <f t="shared" si="1"/>
        <v>4</v>
      </c>
    </row>
    <row r="43" spans="2:10" x14ac:dyDescent="0.3">
      <c r="B43" s="6" t="s">
        <v>15</v>
      </c>
      <c r="C43" s="6" t="s">
        <v>16</v>
      </c>
      <c r="D43" s="6">
        <v>30</v>
      </c>
      <c r="E43" s="6">
        <v>10</v>
      </c>
      <c r="F43" s="6">
        <v>3</v>
      </c>
      <c r="G43" s="6">
        <v>37</v>
      </c>
      <c r="H43" s="6">
        <v>100</v>
      </c>
      <c r="I43" s="6">
        <f t="shared" si="0"/>
        <v>3700</v>
      </c>
      <c r="J43" s="1">
        <f t="shared" si="1"/>
        <v>7</v>
      </c>
    </row>
    <row r="44" spans="2:10" x14ac:dyDescent="0.3">
      <c r="B44" s="6" t="s">
        <v>29</v>
      </c>
      <c r="C44" s="6" t="s">
        <v>30</v>
      </c>
      <c r="D44" s="6">
        <v>20</v>
      </c>
      <c r="E44" s="6">
        <v>8</v>
      </c>
      <c r="F44" s="6">
        <v>3</v>
      </c>
      <c r="G44" s="6">
        <v>25</v>
      </c>
      <c r="H44" s="6">
        <v>150</v>
      </c>
      <c r="I44" s="6">
        <f t="shared" si="0"/>
        <v>3750</v>
      </c>
      <c r="J44" s="1">
        <f t="shared" si="1"/>
        <v>5</v>
      </c>
    </row>
    <row r="45" spans="2:10" x14ac:dyDescent="0.3">
      <c r="B45" s="6" t="s">
        <v>45</v>
      </c>
      <c r="C45" s="6" t="s">
        <v>46</v>
      </c>
      <c r="D45" s="6">
        <v>20</v>
      </c>
      <c r="E45" s="6">
        <v>8</v>
      </c>
      <c r="F45" s="6">
        <v>3</v>
      </c>
      <c r="G45" s="6">
        <v>25</v>
      </c>
      <c r="H45" s="6">
        <v>120</v>
      </c>
      <c r="I45" s="6">
        <f t="shared" si="0"/>
        <v>3000</v>
      </c>
      <c r="J45" s="1">
        <f t="shared" si="1"/>
        <v>5</v>
      </c>
    </row>
    <row r="46" spans="2:10" x14ac:dyDescent="0.3">
      <c r="B46" s="6" t="s">
        <v>69</v>
      </c>
      <c r="C46" s="6" t="s">
        <v>70</v>
      </c>
      <c r="D46" s="6">
        <v>25</v>
      </c>
      <c r="E46" s="6">
        <v>10</v>
      </c>
      <c r="F46" s="6">
        <v>3</v>
      </c>
      <c r="G46" s="6">
        <v>28</v>
      </c>
      <c r="H46" s="6">
        <v>30</v>
      </c>
      <c r="I46" s="6">
        <f t="shared" si="0"/>
        <v>840</v>
      </c>
      <c r="J46" s="1">
        <f t="shared" si="1"/>
        <v>3</v>
      </c>
    </row>
    <row r="47" spans="2:10" x14ac:dyDescent="0.3">
      <c r="B47" s="6" t="s">
        <v>77</v>
      </c>
      <c r="C47" s="6" t="s">
        <v>78</v>
      </c>
      <c r="D47" s="6">
        <v>20</v>
      </c>
      <c r="E47" s="6">
        <v>8</v>
      </c>
      <c r="F47" s="6">
        <v>3</v>
      </c>
      <c r="G47" s="6">
        <v>23</v>
      </c>
      <c r="H47" s="6">
        <v>20</v>
      </c>
      <c r="I47" s="6">
        <f t="shared" si="0"/>
        <v>460</v>
      </c>
      <c r="J47" s="1">
        <f t="shared" si="1"/>
        <v>3</v>
      </c>
    </row>
    <row r="48" spans="2:10" x14ac:dyDescent="0.3">
      <c r="B48" s="6" t="s">
        <v>89</v>
      </c>
      <c r="C48" s="6" t="s">
        <v>90</v>
      </c>
      <c r="D48" s="6">
        <v>25</v>
      </c>
      <c r="E48" s="6">
        <v>8</v>
      </c>
      <c r="F48" s="6">
        <v>3</v>
      </c>
      <c r="G48" s="6">
        <v>28</v>
      </c>
      <c r="H48" s="6">
        <v>10</v>
      </c>
      <c r="I48" s="6">
        <f t="shared" si="0"/>
        <v>280</v>
      </c>
      <c r="J48" s="1">
        <f t="shared" si="1"/>
        <v>3</v>
      </c>
    </row>
    <row r="49" spans="2:10" x14ac:dyDescent="0.3">
      <c r="B49" s="6" t="s">
        <v>99</v>
      </c>
      <c r="C49" s="6" t="s">
        <v>100</v>
      </c>
      <c r="D49" s="6">
        <v>25</v>
      </c>
      <c r="E49" s="6">
        <v>10</v>
      </c>
      <c r="F49" s="6">
        <v>3</v>
      </c>
      <c r="G49" s="6">
        <v>28</v>
      </c>
      <c r="H49" s="6">
        <v>150</v>
      </c>
      <c r="I49" s="6">
        <f t="shared" si="0"/>
        <v>4200</v>
      </c>
      <c r="J49" s="1">
        <f t="shared" si="1"/>
        <v>3</v>
      </c>
    </row>
    <row r="50" spans="2:10" x14ac:dyDescent="0.3">
      <c r="B50" s="6" t="s">
        <v>47</v>
      </c>
      <c r="C50" s="6" t="s">
        <v>48</v>
      </c>
      <c r="D50" s="6">
        <v>15</v>
      </c>
      <c r="E50" s="6">
        <v>6</v>
      </c>
      <c r="F50" s="6">
        <v>2</v>
      </c>
      <c r="G50" s="6">
        <v>19</v>
      </c>
      <c r="H50" s="6">
        <v>200</v>
      </c>
      <c r="I50" s="6">
        <f t="shared" si="0"/>
        <v>3800</v>
      </c>
      <c r="J50" s="1">
        <f t="shared" si="1"/>
        <v>4</v>
      </c>
    </row>
    <row r="51" spans="2:10" x14ac:dyDescent="0.3">
      <c r="B51" s="6" t="s">
        <v>79</v>
      </c>
      <c r="C51" s="6" t="s">
        <v>80</v>
      </c>
      <c r="D51" s="6">
        <v>15</v>
      </c>
      <c r="E51" s="6">
        <v>6</v>
      </c>
      <c r="F51" s="6">
        <v>2</v>
      </c>
      <c r="G51" s="6">
        <v>17</v>
      </c>
      <c r="H51" s="6">
        <v>50</v>
      </c>
      <c r="I51" s="6">
        <f t="shared" si="0"/>
        <v>850</v>
      </c>
      <c r="J51" s="1">
        <f t="shared" si="1"/>
        <v>2</v>
      </c>
    </row>
  </sheetData>
  <autoFilter ref="B5:J51" xr:uid="{E44887A2-5E74-4E54-9CA6-3EA8F53C3D03}">
    <sortState xmlns:xlrd2="http://schemas.microsoft.com/office/spreadsheetml/2017/richdata2" ref="B6:J51">
      <sortCondition descending="1" ref="F5:F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FB05-DDBE-4180-A18B-497338733B81}">
  <dimension ref="A2:N36"/>
  <sheetViews>
    <sheetView topLeftCell="A17" workbookViewId="0">
      <selection activeCell="E33" sqref="E33"/>
    </sheetView>
  </sheetViews>
  <sheetFormatPr defaultRowHeight="14.4" x14ac:dyDescent="0.3"/>
  <cols>
    <col min="1" max="1" width="10.5546875" customWidth="1"/>
    <col min="2" max="2" width="12.21875" bestFit="1" customWidth="1"/>
    <col min="3" max="3" width="16.44140625" bestFit="1" customWidth="1"/>
    <col min="4" max="4" width="15.88671875" bestFit="1" customWidth="1"/>
    <col min="6" max="6" width="11.77734375" customWidth="1"/>
  </cols>
  <sheetData>
    <row r="2" spans="1:6" x14ac:dyDescent="0.3">
      <c r="A2" s="13" t="s">
        <v>101</v>
      </c>
      <c r="B2" s="13"/>
      <c r="C2" s="13"/>
      <c r="D2" s="13"/>
      <c r="E2" s="13"/>
      <c r="F2" s="13"/>
    </row>
    <row r="3" spans="1:6" x14ac:dyDescent="0.3">
      <c r="A3" s="7" t="s">
        <v>102</v>
      </c>
      <c r="B3" s="8">
        <f>SUM('Inventory Records Data'!I6:I51)</f>
        <v>359760</v>
      </c>
    </row>
    <row r="5" spans="1:6" x14ac:dyDescent="0.3">
      <c r="A5" s="13" t="s">
        <v>103</v>
      </c>
      <c r="B5" s="13"/>
      <c r="C5" s="13"/>
      <c r="D5" s="13"/>
    </row>
    <row r="6" spans="1:6" x14ac:dyDescent="0.3">
      <c r="A6" t="s">
        <v>102</v>
      </c>
      <c r="B6" s="6" t="s">
        <v>104</v>
      </c>
      <c r="C6" s="9" t="str" cm="1">
        <f t="array" ref="C6:D6">'Inventory Records Data'!B10:C10</f>
        <v>P113</v>
      </c>
      <c r="D6" s="10" t="str">
        <v>USB Flash Drive</v>
      </c>
      <c r="E6" s="10">
        <f>MAX('Inventory Records Data'!G6:G51)</f>
        <v>80</v>
      </c>
    </row>
    <row r="7" spans="1:6" x14ac:dyDescent="0.3">
      <c r="B7" t="s">
        <v>105</v>
      </c>
      <c r="C7" s="10" t="str" cm="1">
        <f t="array" ref="C7:D7">'Inventory Records Data'!B41:C41</f>
        <v>P140</v>
      </c>
      <c r="D7" s="10" t="str">
        <v>USB Hub</v>
      </c>
      <c r="E7" s="10">
        <f>MIN('Inventory Records Data'!G6:G51)</f>
        <v>17</v>
      </c>
    </row>
    <row r="9" spans="1:6" x14ac:dyDescent="0.3">
      <c r="A9" s="13" t="s">
        <v>106</v>
      </c>
      <c r="B9" s="13"/>
      <c r="C9" s="13"/>
      <c r="D9" s="13"/>
      <c r="E9" s="13"/>
      <c r="F9" s="13"/>
    </row>
    <row r="10" spans="1:6" x14ac:dyDescent="0.3">
      <c r="A10" t="s">
        <v>102</v>
      </c>
    </row>
    <row r="11" spans="1:6" ht="31.2" x14ac:dyDescent="0.3">
      <c r="A11" s="5" t="s">
        <v>2</v>
      </c>
      <c r="B11" s="5" t="s">
        <v>3</v>
      </c>
      <c r="C11" s="5" t="s">
        <v>6</v>
      </c>
      <c r="D11" s="11" t="s">
        <v>107</v>
      </c>
    </row>
    <row r="12" spans="1:6" x14ac:dyDescent="0.3">
      <c r="A12" s="6" t="s">
        <v>48</v>
      </c>
      <c r="B12" s="6">
        <v>15</v>
      </c>
      <c r="C12" s="6">
        <v>19</v>
      </c>
      <c r="D12" s="1">
        <v>4</v>
      </c>
    </row>
    <row r="13" spans="1:6" x14ac:dyDescent="0.3">
      <c r="A13" s="6" t="s">
        <v>50</v>
      </c>
      <c r="B13" s="6">
        <v>25</v>
      </c>
      <c r="C13" s="6">
        <v>29</v>
      </c>
      <c r="D13" s="1">
        <v>4</v>
      </c>
    </row>
    <row r="14" spans="1:6" x14ac:dyDescent="0.3">
      <c r="A14" s="6" t="s">
        <v>68</v>
      </c>
      <c r="B14" s="6">
        <v>30</v>
      </c>
      <c r="C14" s="6">
        <v>34</v>
      </c>
      <c r="D14" s="1">
        <v>4</v>
      </c>
    </row>
    <row r="15" spans="1:6" x14ac:dyDescent="0.3">
      <c r="A15" s="6" t="s">
        <v>70</v>
      </c>
      <c r="B15" s="6">
        <v>25</v>
      </c>
      <c r="C15" s="6">
        <v>28</v>
      </c>
      <c r="D15" s="1">
        <v>3</v>
      </c>
    </row>
    <row r="16" spans="1:6" x14ac:dyDescent="0.3">
      <c r="A16" s="6" t="s">
        <v>76</v>
      </c>
      <c r="B16" s="6">
        <v>30</v>
      </c>
      <c r="C16" s="6">
        <v>34</v>
      </c>
      <c r="D16" s="1">
        <v>4</v>
      </c>
    </row>
    <row r="17" spans="1:14" x14ac:dyDescent="0.3">
      <c r="A17" s="6" t="s">
        <v>78</v>
      </c>
      <c r="B17" s="6">
        <v>20</v>
      </c>
      <c r="C17" s="6">
        <v>23</v>
      </c>
      <c r="D17" s="1">
        <v>3</v>
      </c>
    </row>
    <row r="18" spans="1:14" x14ac:dyDescent="0.3">
      <c r="A18" s="6" t="s">
        <v>80</v>
      </c>
      <c r="B18" s="6">
        <v>15</v>
      </c>
      <c r="C18" s="6">
        <v>17</v>
      </c>
      <c r="D18" s="1">
        <v>2</v>
      </c>
    </row>
    <row r="19" spans="1:14" x14ac:dyDescent="0.3">
      <c r="A19" s="6" t="s">
        <v>82</v>
      </c>
      <c r="B19" s="6">
        <v>25</v>
      </c>
      <c r="C19" s="6">
        <v>29</v>
      </c>
      <c r="D19" s="1">
        <v>4</v>
      </c>
    </row>
    <row r="20" spans="1:14" x14ac:dyDescent="0.3">
      <c r="A20" s="6" t="s">
        <v>88</v>
      </c>
      <c r="B20" s="6">
        <v>35</v>
      </c>
      <c r="C20" s="6">
        <v>31</v>
      </c>
      <c r="D20" s="12">
        <v>-4</v>
      </c>
    </row>
    <row r="21" spans="1:14" x14ac:dyDescent="0.3">
      <c r="A21" s="6" t="s">
        <v>90</v>
      </c>
      <c r="B21" s="6">
        <v>25</v>
      </c>
      <c r="C21" s="6">
        <v>28</v>
      </c>
      <c r="D21" s="1">
        <v>3</v>
      </c>
    </row>
    <row r="22" spans="1:14" x14ac:dyDescent="0.3">
      <c r="A22" s="6" t="s">
        <v>92</v>
      </c>
      <c r="B22" s="6">
        <v>20</v>
      </c>
      <c r="C22" s="6">
        <v>24</v>
      </c>
      <c r="D22" s="1">
        <v>4</v>
      </c>
    </row>
    <row r="23" spans="1:14" x14ac:dyDescent="0.3">
      <c r="A23" s="6" t="s">
        <v>100</v>
      </c>
      <c r="B23" s="6">
        <v>25</v>
      </c>
      <c r="C23" s="6">
        <v>28</v>
      </c>
      <c r="D23" s="1">
        <v>3</v>
      </c>
    </row>
    <row r="25" spans="1:14" ht="14.4" customHeight="1" x14ac:dyDescent="0.3">
      <c r="A25" s="15" t="s">
        <v>108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3">
      <c r="A28" s="16" t="s">
        <v>109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4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4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2" spans="1:14" x14ac:dyDescent="0.3">
      <c r="A32" s="13" t="s">
        <v>110</v>
      </c>
      <c r="B32" s="13"/>
      <c r="C32" s="13"/>
      <c r="D32" s="13"/>
    </row>
    <row r="33" spans="1:4" x14ac:dyDescent="0.3">
      <c r="A33" t="s">
        <v>102</v>
      </c>
      <c r="B33" s="10" t="str" cm="1">
        <f t="array" ref="B33:C33">'Inventory Records Data'!B6:C6</f>
        <v>P105</v>
      </c>
      <c r="C33" s="10" t="str">
        <v>Smartphone</v>
      </c>
      <c r="D33" s="10">
        <f>MAX('Inventory Records Data'!F6:F51)</f>
        <v>20</v>
      </c>
    </row>
    <row r="35" spans="1:4" x14ac:dyDescent="0.3">
      <c r="A35" s="13" t="s">
        <v>111</v>
      </c>
      <c r="B35" s="13"/>
      <c r="C35" s="13"/>
      <c r="D35" s="13"/>
    </row>
    <row r="36" spans="1:4" x14ac:dyDescent="0.3">
      <c r="A36" s="7" t="s">
        <v>102</v>
      </c>
      <c r="B36" s="14" t="s">
        <v>112</v>
      </c>
      <c r="C36" s="14"/>
      <c r="D36" s="7"/>
    </row>
  </sheetData>
  <mergeCells count="8">
    <mergeCell ref="A32:D32"/>
    <mergeCell ref="A35:D35"/>
    <mergeCell ref="B36:C36"/>
    <mergeCell ref="A2:F2"/>
    <mergeCell ref="A5:D5"/>
    <mergeCell ref="A9:F9"/>
    <mergeCell ref="A25:N27"/>
    <mergeCell ref="A28:L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Records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Frank Ametepe</cp:lastModifiedBy>
  <dcterms:created xsi:type="dcterms:W3CDTF">2024-02-19T11:46:38Z</dcterms:created>
  <dcterms:modified xsi:type="dcterms:W3CDTF">2025-01-13T16:51:08Z</dcterms:modified>
</cp:coreProperties>
</file>